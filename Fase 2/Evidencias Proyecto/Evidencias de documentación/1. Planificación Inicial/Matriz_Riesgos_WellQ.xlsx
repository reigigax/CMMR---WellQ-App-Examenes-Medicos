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stro de riesgos" sheetId="1" state="visible" r:id="rId3"/>
    <sheet name="Matriz de riesgos" sheetId="2" state="visible" r:id="rId4"/>
    <sheet name="Criterio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<sst xmlns="http://schemas.openxmlformats.org/spreadsheetml/2006/main" count="161" uniqueCount="103">
  <si>
    <t xml:space="preserve">Registro de riesgos – WellQ App Exámenes Médicos</t>
  </si>
  <si>
    <t xml:space="preserve">Seleccione probabilidad e impacto en las columnas E y F; el nivel se calcula automáticamente según la matriz.</t>
  </si>
  <si>
    <t xml:space="preserve">ID</t>
  </si>
  <si>
    <t xml:space="preserve">Riesgo</t>
  </si>
  <si>
    <t xml:space="preserve">Categoría</t>
  </si>
  <si>
    <t xml:space="preserve">Causa</t>
  </si>
  <si>
    <t xml:space="preserve">Probabilidad</t>
  </si>
  <si>
    <t xml:space="preserve">Impacto</t>
  </si>
  <si>
    <t xml:space="preserve">Nivel de riesgo</t>
  </si>
  <si>
    <t xml:space="preserve">Medida de mitigación</t>
  </si>
  <si>
    <t xml:space="preserve">Responsable</t>
  </si>
  <si>
    <t xml:space="preserve">Revisión</t>
  </si>
  <si>
    <t xml:space="preserve">R1</t>
  </si>
  <si>
    <t xml:space="preserve">Cambios en los requerimientos: necesidad de modificar o ajustar requerimientos ya definidos durante el desarrollo</t>
  </si>
  <si>
    <t xml:space="preserve">Alcance</t>
  </si>
  <si>
    <t xml:space="preserve">Comunicación limitada con la empresa que entregó el caso y ajustes solicitados durante el proyecto</t>
  </si>
  <si>
    <t xml:space="preserve">Posible</t>
  </si>
  <si>
    <t xml:space="preserve">Moderado</t>
  </si>
  <si>
    <t xml:space="preserve">Documentar los supuestos en el documento de requerimientos y validar cualquier cambio con el docente.</t>
  </si>
  <si>
    <t xml:space="preserve">Carina Torres</t>
  </si>
  <si>
    <t xml:space="preserve">S1 a S10</t>
  </si>
  <si>
    <t xml:space="preserve">R2</t>
  </si>
  <si>
    <t xml:space="preserve">Problemas de integración: dificultades para integrar la plataforma web, el backend y la base de datos</t>
  </si>
  <si>
    <t xml:space="preserve">Técnico</t>
  </si>
  <si>
    <t xml:space="preserve">Componentes desarrollados en paralelo por distintos integrantes</t>
  </si>
  <si>
    <t xml:space="preserve">Muy probable</t>
  </si>
  <si>
    <t xml:space="preserve">Integración progresiva y pruebas de integración tempranas entre los componentes.</t>
  </si>
  <si>
    <t xml:space="preserve">Renato González</t>
  </si>
  <si>
    <t xml:space="preserve">S8 a S11</t>
  </si>
  <si>
    <t xml:space="preserve">R3</t>
  </si>
  <si>
    <t xml:space="preserve">Integridad de los datos: inconsistencias o errores al almacenar y gestionar la información de los exámenes</t>
  </si>
  <si>
    <t xml:space="preserve">Datos</t>
  </si>
  <si>
    <t xml:space="preserve">Validaciones o restricciones insuficientes en el modelo de datos</t>
  </si>
  <si>
    <t xml:space="preserve">Poco probable</t>
  </si>
  <si>
    <t xml:space="preserve">Mayor</t>
  </si>
  <si>
    <t xml:space="preserve">Definir restricciones y relaciones en PostgreSQL, validar los datos en Django REST Framework y probar las operaciones sobre la base de datos.</t>
  </si>
  <si>
    <t xml:space="preserve">Marcelo Baeza</t>
  </si>
  <si>
    <t xml:space="preserve">S8 a S12</t>
  </si>
  <si>
    <t xml:space="preserve">R4</t>
  </si>
  <si>
    <t xml:space="preserve">Seguridad de la información: vulnerabilidades en la autenticación, el control de acceso o la protección de la documentación médica</t>
  </si>
  <si>
    <t xml:space="preserve">Seguridad</t>
  </si>
  <si>
    <t xml:space="preserve">Errores en la implementación de autenticación y autorización</t>
  </si>
  <si>
    <t xml:space="preserve">Catastrófico</t>
  </si>
  <si>
    <t xml:space="preserve">Pruebas de seguridad específicas y revisión del control de acceso antes del cierre.</t>
  </si>
  <si>
    <t xml:space="preserve">S9 a S13</t>
  </si>
  <si>
    <t xml:space="preserve">R5</t>
  </si>
  <si>
    <t xml:space="preserve">Validación de documentos: almacenar archivos que no cumplan las validaciones del sistema</t>
  </si>
  <si>
    <t xml:space="preserve">Calidad</t>
  </si>
  <si>
    <t xml:space="preserve">Reglas de validación de archivos (tipo y tamaño) incompletas o mal aplicadas</t>
  </si>
  <si>
    <t xml:space="preserve">Validar el tipo y el tamaño de los archivos en el backend antes de almacenarlos, y probar con archivos no permitidos.</t>
  </si>
  <si>
    <t xml:space="preserve">R6</t>
  </si>
  <si>
    <t xml:space="preserve">Errores de compatibilidad: inconvenientes al integrar los distintos componentes tecnológicos</t>
  </si>
  <si>
    <t xml:space="preserve">Diferencias de versiones de librerías y herramientas entre los equipos de los integrantes</t>
  </si>
  <si>
    <t xml:space="preserve">Menor</t>
  </si>
  <si>
    <t xml:space="preserve">Fijar las versiones de las dependencias del proyecto y usar un entorno de desarrollo común para todo el equipo.</t>
  </si>
  <si>
    <t xml:space="preserve">S5 a S11</t>
  </si>
  <si>
    <t xml:space="preserve">R7</t>
  </si>
  <si>
    <t xml:space="preserve">Retrasos en el desarrollo: las pruebas y validaciones dependen de que las funcionalidades principales estén implementadas</t>
  </si>
  <si>
    <t xml:space="preserve">Cronograma</t>
  </si>
  <si>
    <t xml:space="preserve">Estimaciones optimistas o funcionalidades que se terminan después de lo planificado</t>
  </si>
  <si>
    <t xml:space="preserve">Seguimiento semanal del avance según la carta Gantt y redistribución de tareas.</t>
  </si>
  <si>
    <t xml:space="preserve">Semanal (S5 a S15)</t>
  </si>
  <si>
    <t xml:space="preserve">R8</t>
  </si>
  <si>
    <t xml:space="preserve">Amplitud del alcance: un alcance excesivo que aumente la complejidad y los tiempos de desarrollo</t>
  </si>
  <si>
    <t xml:space="preserve">Incorporación de funcionalidades no acordadas con el docente</t>
  </si>
  <si>
    <t xml:space="preserve">Mantener el alcance acordado (solo panel web) y evaluar cualquier cambio antes de incorporarlo.</t>
  </si>
  <si>
    <t xml:space="preserve">Semanal</t>
  </si>
  <si>
    <t xml:space="preserve">Matriz de riesgos</t>
  </si>
  <si>
    <t xml:space="preserve">IMPACTO O CONSECUENCIAS</t>
  </si>
  <si>
    <t xml:space="preserve">⚠</t>
  </si>
  <si>
    <t xml:space="preserve">INSIGNIFICANTE</t>
  </si>
  <si>
    <t xml:space="preserve">MENOR</t>
  </si>
  <si>
    <t xml:space="preserve">MODERADO</t>
  </si>
  <si>
    <t xml:space="preserve">MAYOR</t>
  </si>
  <si>
    <t xml:space="preserve">CATASTRÓFICO</t>
  </si>
  <si>
    <t xml:space="preserve">PROBABILIDAD DE QUE OCURRA</t>
  </si>
  <si>
    <t xml:space="preserve">CASI SEGURO</t>
  </si>
  <si>
    <t xml:space="preserve">MUY PROBABLE</t>
  </si>
  <si>
    <t xml:space="preserve">POSIBLE</t>
  </si>
  <si>
    <t xml:space="preserve">POCO PROBABLE</t>
  </si>
  <si>
    <t xml:space="preserve">RARO</t>
  </si>
  <si>
    <t xml:space="preserve">En cada celda aparece el nivel y los riesgos (R1 a R8) ubicados en ella según el registro.</t>
  </si>
  <si>
    <t xml:space="preserve">Criterios de evaluación</t>
  </si>
  <si>
    <t xml:space="preserve">Descripción</t>
  </si>
  <si>
    <t xml:space="preserve">Casi seguro</t>
  </si>
  <si>
    <t xml:space="preserve">Ocurrirá casi con certeza durante el proyecto.</t>
  </si>
  <si>
    <t xml:space="preserve">Insignificante</t>
  </si>
  <si>
    <t xml:space="preserve">Sin efecto visible en plazos ni en la calidad.</t>
  </si>
  <si>
    <t xml:space="preserve">Es muy probable que ocurra en algún momento.</t>
  </si>
  <si>
    <t xml:space="preserve">Retraso de días; se resuelve dentro del equipo.</t>
  </si>
  <si>
    <t xml:space="preserve">Puede ocurrir; hay señales de que podría pasar.</t>
  </si>
  <si>
    <t xml:space="preserve">Retraso de hasta 1 semana o una funcionalidad parcial.</t>
  </si>
  <si>
    <t xml:space="preserve">Es poco probable, pero no se puede descartar.</t>
  </si>
  <si>
    <t xml:space="preserve">Retraso de más de 1 semana o una funcionalidad crítica afectada.</t>
  </si>
  <si>
    <t xml:space="preserve">Raro</t>
  </si>
  <si>
    <t xml:space="preserve">Solo ocurriría en circunstancias excepcionales.</t>
  </si>
  <si>
    <t xml:space="preserve">Pone en riesgo la entrega, la aprobación o expone información médica.</t>
  </si>
  <si>
    <t xml:space="preserve">Tabla de niveles (base del cálculo)</t>
  </si>
  <si>
    <t xml:space="preserve">Probabilidad / Impacto</t>
  </si>
  <si>
    <t xml:space="preserve">Medio</t>
  </si>
  <si>
    <t xml:space="preserve">Alto</t>
  </si>
  <si>
    <t xml:space="preserve">Muy alto</t>
  </si>
  <si>
    <t xml:space="preserve">Bajo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</si>
</sst>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2A6B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20"/>
      <color rgb="FF3F5BD8"/>
      <name val="Arial"/>
      <family val="0"/>
      <charset val="1"/>
    </font>
    <font>
      <b val="true"/>
      <sz val="10"/>
      <color rgb="FF3F5BD8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7F7F7F"/>
      <name val="Arial"/>
      <family val="0"/>
      <charset val="1"/>
    </font>
    <font>
      <b val="true"/>
      <sz val="11"/>
      <color rgb="FF1A1A1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F2A6B"/>
      <name val="Arial"/>
      <family val="0"/>
      <charset val="1"/>
    </font>
    <font>
      <b val="true"/>
      <sz val="10"/>
      <color rgb="FF1A1A1A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2A6B"/>
        <bgColor rgb="FF2E3440"/>
      </patternFill>
    </fill>
    <fill>
      <patternFill patternType="solid">
        <fgColor rgb="FF2E3440"/>
        <bgColor rgb="FF1F2A6B"/>
      </patternFill>
    </fill>
    <fill>
      <patternFill patternType="solid">
        <fgColor rgb="FFF9D84A"/>
        <bgColor rgb="FFFFCC99"/>
      </patternFill>
    </fill>
    <fill>
      <patternFill patternType="solid">
        <fgColor rgb="FFF89A4B"/>
        <bgColor rgb="FFFF8080"/>
      </patternFill>
    </fill>
    <fill>
      <patternFill patternType="solid">
        <fgColor rgb="FFE8384F"/>
        <bgColor rgb="FF993366"/>
      </patternFill>
    </fill>
    <fill>
      <patternFill patternType="solid">
        <fgColor rgb="FF7CC96B"/>
        <bgColor rgb="FF96969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7CC96B"/>
        </patternFill>
      </fill>
    </dxf>
    <dxf>
      <fill>
        <patternFill>
          <bgColor rgb="FFF9D84A"/>
        </patternFill>
      </fill>
    </dxf>
    <dxf>
      <fill>
        <patternFill>
          <bgColor rgb="FFF89A4B"/>
        </patternFill>
      </fill>
    </dxf>
    <dxf>
      <fill>
        <patternFill>
          <bgColor rgb="FFE8384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E8384F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F5BD8"/>
      <rgbColor rgb="FF33CCCC"/>
      <rgbColor rgb="FF7CC96B"/>
      <rgbColor rgb="FFF9D84A"/>
      <rgbColor rgb="FFF89A4B"/>
      <rgbColor rgb="FFFF6600"/>
      <rgbColor rgb="FF595959"/>
      <rgbColor rgb="FF969696"/>
      <rgbColor rgb="FF1F2A6B"/>
      <rgbColor rgb="FF339966"/>
      <rgbColor rgb="FF003300"/>
      <rgbColor rgb="FF1A1A1A"/>
      <rgbColor rgb="FF993300"/>
      <rgbColor rgb="FF993366"/>
      <rgbColor rgb="FF333399"/>
      <rgbColor rgb="FF2E34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8"/>
    <col collapsed="false" customWidth="true" hidden="false" outlineLevel="0" max="3" min="3" style="0" width="13"/>
    <col collapsed="false" customWidth="true" hidden="false" outlineLevel="0" max="4" min="4" style="0" width="32"/>
    <col collapsed="false" customWidth="true" hidden="false" outlineLevel="0" max="6" min="5" style="0" width="15"/>
    <col collapsed="false" customWidth="true" hidden="false" outlineLevel="0" max="7" min="7" style="0" width="14"/>
    <col collapsed="false" customWidth="true" hidden="false" outlineLevel="0" max="8" min="8" style="0" width="45"/>
    <col collapsed="false" customWidth="true" hidden="false" outlineLevel="0" max="9" min="9" style="0" width="17"/>
    <col collapsed="false" customWidth="true" hidden="false" outlineLevel="0" max="10" min="10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48" hidden="false" customHeight="true" outlineLevel="0" collapsed="false">
      <c r="A5" s="4" t="s">
        <v>12</v>
      </c>
      <c r="B5" s="5" t="s">
        <v>13</v>
      </c>
      <c r="C5" s="6" t="s">
        <v>14</v>
      </c>
      <c r="D5" s="5" t="s">
        <v>15</v>
      </c>
      <c r="E5" s="6" t="s">
        <v>16</v>
      </c>
      <c r="F5" s="6" t="s">
        <v>17</v>
      </c>
      <c r="G5" s="4" t="str">
        <f aca="false">IFERROR(INDEX(Criterios!$C$15:$G$19,MATCH(E5,Criterios!$B$15:$B$19,0),MATCH(F5,Criterios!$C$14:$G$14,0)),"")</f>
        <v>Medio</v>
      </c>
      <c r="H5" s="5" t="s">
        <v>18</v>
      </c>
      <c r="I5" s="5" t="s">
        <v>19</v>
      </c>
      <c r="J5" s="6" t="s">
        <v>20</v>
      </c>
    </row>
    <row r="6" customFormat="false" ht="48" hidden="false" customHeight="true" outlineLevel="0" collapsed="false">
      <c r="A6" s="4" t="s">
        <v>21</v>
      </c>
      <c r="B6" s="5" t="s">
        <v>22</v>
      </c>
      <c r="C6" s="6" t="s">
        <v>23</v>
      </c>
      <c r="D6" s="5" t="s">
        <v>24</v>
      </c>
      <c r="E6" s="6" t="s">
        <v>25</v>
      </c>
      <c r="F6" s="6" t="s">
        <v>17</v>
      </c>
      <c r="G6" s="4" t="str">
        <f aca="false">IFERROR(INDEX(Criterios!$C$15:$G$19,MATCH(E6,Criterios!$B$15:$B$19,0),MATCH(F6,Criterios!$C$14:$G$14,0)),"")</f>
        <v>Alto</v>
      </c>
      <c r="H6" s="5" t="s">
        <v>26</v>
      </c>
      <c r="I6" s="5" t="s">
        <v>27</v>
      </c>
      <c r="J6" s="6" t="s">
        <v>28</v>
      </c>
    </row>
    <row r="7" customFormat="false" ht="48" hidden="false" customHeight="true" outlineLevel="0" collapsed="false">
      <c r="A7" s="4" t="s">
        <v>29</v>
      </c>
      <c r="B7" s="5" t="s">
        <v>30</v>
      </c>
      <c r="C7" s="6" t="s">
        <v>31</v>
      </c>
      <c r="D7" s="5" t="s">
        <v>32</v>
      </c>
      <c r="E7" s="6" t="s">
        <v>33</v>
      </c>
      <c r="F7" s="6" t="s">
        <v>34</v>
      </c>
      <c r="G7" s="4" t="str">
        <f aca="false">IFERROR(INDEX(Criterios!$C$15:$G$19,MATCH(E7,Criterios!$B$15:$B$19,0),MATCH(F7,Criterios!$C$14:$G$14,0)),"")</f>
        <v>Medio</v>
      </c>
      <c r="H7" s="5" t="s">
        <v>35</v>
      </c>
      <c r="I7" s="5" t="s">
        <v>36</v>
      </c>
      <c r="J7" s="6" t="s">
        <v>37</v>
      </c>
    </row>
    <row r="8" customFormat="false" ht="48" hidden="false" customHeight="true" outlineLevel="0" collapsed="false">
      <c r="A8" s="4" t="s">
        <v>38</v>
      </c>
      <c r="B8" s="5" t="s">
        <v>39</v>
      </c>
      <c r="C8" s="6" t="s">
        <v>40</v>
      </c>
      <c r="D8" s="5" t="s">
        <v>41</v>
      </c>
      <c r="E8" s="6" t="s">
        <v>33</v>
      </c>
      <c r="F8" s="6" t="s">
        <v>42</v>
      </c>
      <c r="G8" s="4" t="str">
        <f aca="false">IFERROR(INDEX(Criterios!$C$15:$G$19,MATCH(E8,Criterios!$B$15:$B$19,0),MATCH(F8,Criterios!$C$14:$G$14,0)),"")</f>
        <v>Alto</v>
      </c>
      <c r="H8" s="5" t="s">
        <v>43</v>
      </c>
      <c r="I8" s="5" t="s">
        <v>27</v>
      </c>
      <c r="J8" s="6" t="s">
        <v>44</v>
      </c>
    </row>
    <row r="9" customFormat="false" ht="48" hidden="false" customHeight="true" outlineLevel="0" collapsed="false">
      <c r="A9" s="4" t="s">
        <v>45</v>
      </c>
      <c r="B9" s="5" t="s">
        <v>46</v>
      </c>
      <c r="C9" s="6" t="s">
        <v>47</v>
      </c>
      <c r="D9" s="5" t="s">
        <v>48</v>
      </c>
      <c r="E9" s="6" t="s">
        <v>16</v>
      </c>
      <c r="F9" s="6" t="s">
        <v>17</v>
      </c>
      <c r="G9" s="4" t="str">
        <f aca="false">IFERROR(INDEX(Criterios!$C$15:$G$19,MATCH(E9,Criterios!$B$15:$B$19,0),MATCH(F9,Criterios!$C$14:$G$14,0)),"")</f>
        <v>Medio</v>
      </c>
      <c r="H9" s="5" t="s">
        <v>49</v>
      </c>
      <c r="I9" s="5" t="s">
        <v>27</v>
      </c>
      <c r="J9" s="6" t="s">
        <v>44</v>
      </c>
    </row>
    <row r="10" customFormat="false" ht="48" hidden="false" customHeight="true" outlineLevel="0" collapsed="false">
      <c r="A10" s="4" t="s">
        <v>50</v>
      </c>
      <c r="B10" s="5" t="s">
        <v>51</v>
      </c>
      <c r="C10" s="6" t="s">
        <v>23</v>
      </c>
      <c r="D10" s="5" t="s">
        <v>52</v>
      </c>
      <c r="E10" s="6" t="s">
        <v>16</v>
      </c>
      <c r="F10" s="6" t="s">
        <v>53</v>
      </c>
      <c r="G10" s="4" t="str">
        <f aca="false">IFERROR(INDEX(Criterios!$C$15:$G$19,MATCH(E10,Criterios!$B$15:$B$19,0),MATCH(F10,Criterios!$C$14:$G$14,0)),"")</f>
        <v>Medio</v>
      </c>
      <c r="H10" s="5" t="s">
        <v>54</v>
      </c>
      <c r="I10" s="5" t="s">
        <v>27</v>
      </c>
      <c r="J10" s="6" t="s">
        <v>55</v>
      </c>
    </row>
    <row r="11" customFormat="false" ht="48" hidden="false" customHeight="true" outlineLevel="0" collapsed="false">
      <c r="A11" s="4" t="s">
        <v>56</v>
      </c>
      <c r="B11" s="5" t="s">
        <v>57</v>
      </c>
      <c r="C11" s="6" t="s">
        <v>58</v>
      </c>
      <c r="D11" s="5" t="s">
        <v>59</v>
      </c>
      <c r="E11" s="6" t="s">
        <v>16</v>
      </c>
      <c r="F11" s="6" t="s">
        <v>34</v>
      </c>
      <c r="G11" s="4" t="str">
        <f aca="false">IFERROR(INDEX(Criterios!$C$15:$G$19,MATCH(E11,Criterios!$B$15:$B$19,0),MATCH(F11,Criterios!$C$14:$G$14,0)),"")</f>
        <v>Alto</v>
      </c>
      <c r="H11" s="5" t="s">
        <v>60</v>
      </c>
      <c r="I11" s="5" t="s">
        <v>19</v>
      </c>
      <c r="J11" s="6" t="s">
        <v>61</v>
      </c>
    </row>
    <row r="12" customFormat="false" ht="48" hidden="false" customHeight="true" outlineLevel="0" collapsed="false">
      <c r="A12" s="4" t="s">
        <v>62</v>
      </c>
      <c r="B12" s="5" t="s">
        <v>63</v>
      </c>
      <c r="C12" s="6" t="s">
        <v>14</v>
      </c>
      <c r="D12" s="5" t="s">
        <v>64</v>
      </c>
      <c r="E12" s="6" t="s">
        <v>16</v>
      </c>
      <c r="F12" s="6" t="s">
        <v>34</v>
      </c>
      <c r="G12" s="4" t="str">
        <f aca="false">IFERROR(INDEX(Criterios!$C$15:$G$19,MATCH(E12,Criterios!$B$15:$B$19,0),MATCH(F12,Criterios!$C$14:$G$14,0)),"")</f>
        <v>Alto</v>
      </c>
      <c r="H12" s="5" t="s">
        <v>65</v>
      </c>
      <c r="I12" s="5" t="s">
        <v>19</v>
      </c>
      <c r="J12" s="6" t="s">
        <v>66</v>
      </c>
    </row>
  </sheetData>
  <conditionalFormatting sqref="G5:G12">
    <cfRule type="expression" priority="2" aboveAverage="0" equalAverage="0" bottom="0" percent="0" rank="0" text="" dxfId="0">
      <formula>$G5="Bajo"</formula>
    </cfRule>
    <cfRule type="expression" priority="3" aboveAverage="0" equalAverage="0" bottom="0" percent="0" rank="0" text="" dxfId="1">
      <formula>$G5="Medio"</formula>
    </cfRule>
    <cfRule type="expression" priority="4" aboveAverage="0" equalAverage="0" bottom="0" percent="0" rank="0" text="" dxfId="2">
      <formula>$G5="Alto"</formula>
    </cfRule>
    <cfRule type="expression" priority="5" aboveAverage="0" equalAverage="0" bottom="0" percent="0" rank="0" text="" dxfId="3">
      <formula>$G5="Muy alto"</formula>
    </cfRule>
  </conditionalFormatting>
  <dataValidations count="2">
    <dataValidation allowBlank="true" errorStyle="stop" operator="between" showDropDown="false" showErrorMessage="false" showInputMessage="false" sqref="E5:E12" type="list">
      <formula1>"Casi seguro,Muy probable,Posible,Poco probable,Raro"</formula1>
      <formula2>0</formula2>
    </dataValidation>
    <dataValidation allowBlank="true" errorStyle="stop" operator="between" showDropDown="false" showErrorMessage="false" showInputMessage="false" sqref="F5:F12" type="list">
      <formula1>"Insignificante,Menor,Moderado,Mayor,Catastrófico"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7" min="3" style="0" width="17"/>
  </cols>
  <sheetData>
    <row r="1" customFormat="false" ht="24.45" hidden="false" customHeight="false" outlineLevel="0" collapsed="false">
      <c r="B1" s="7" t="s">
        <v>67</v>
      </c>
      <c r="C1" s="7"/>
      <c r="D1" s="7"/>
      <c r="E1" s="7"/>
      <c r="F1" s="7"/>
      <c r="G1" s="7"/>
    </row>
    <row r="2" customFormat="false" ht="15" hidden="false" customHeight="false" outlineLevel="0" collapsed="false">
      <c r="C2" s="8" t="s">
        <v>68</v>
      </c>
      <c r="D2" s="8"/>
      <c r="E2" s="8"/>
      <c r="F2" s="8"/>
      <c r="G2" s="8"/>
    </row>
    <row r="3" customFormat="false" ht="39.75" hidden="false" customHeight="true" outlineLevel="0" collapsed="false">
      <c r="B3" s="9" t="s">
        <v>69</v>
      </c>
      <c r="C3" s="10" t="s">
        <v>70</v>
      </c>
      <c r="D3" s="10" t="s">
        <v>71</v>
      </c>
      <c r="E3" s="10" t="s">
        <v>72</v>
      </c>
      <c r="F3" s="10" t="s">
        <v>73</v>
      </c>
      <c r="G3" s="10" t="s">
        <v>74</v>
      </c>
    </row>
    <row r="4" customFormat="false" ht="54.75" hidden="false" customHeight="true" outlineLevel="0" collapsed="false">
      <c r="A4" s="11" t="s">
        <v>75</v>
      </c>
      <c r="B4" s="10" t="s">
        <v>76</v>
      </c>
      <c r="C4" s="12" t="str">
        <f aca="false">UPPER(Criterios!C15)&amp;CHAR(10)&amp;TRIM(IF(AND('Registro de riesgos'!$E$5=Criterios!$B$15,'Registro de riesgos'!$F$5=Criterios!C$14)," "&amp;'Registro de riesgos'!$A$5,"")&amp;IF(AND('Registro de riesgos'!$E$6=Criterios!$B$15,'Registro de riesgos'!$F$6=Criterios!C$14)," "&amp;'Registro de riesgos'!$A$6,"")&amp;IF(AND('Registro de riesgos'!$E$7=Criterios!$B$15,'Registro de riesgos'!$F$7=Criterios!C$14)," "&amp;'Registro de riesgos'!$A$7,"")&amp;IF(AND('Registro de riesgos'!$E$8=Criterios!$B$15,'Registro de riesgos'!$F$8=Criterios!C$14)," "&amp;'Registro de riesgos'!$A$8,"")&amp;IF(AND('Registro de riesgos'!$E$9=Criterios!$B$15,'Registro de riesgos'!$F$9=Criterios!C$14)," "&amp;'Registro de riesgos'!$A$9,"")&amp;IF(AND('Registro de riesgos'!$E$10=Criterios!$B$15,'Registro de riesgos'!$F$10=Criterios!C$14)," "&amp;'Registro de riesgos'!$A$10,"")&amp;IF(AND('Registro de riesgos'!$E$11=Criterios!$B$15,'Registro de riesgos'!$F$11=Criterios!C$14)," "&amp;'Registro de riesgos'!$A$11,"")&amp;IF(AND('Registro de riesgos'!$E$12=Criterios!$B$15,'Registro de riesgos'!$F$12=Criterios!C$14)," "&amp;'Registro de riesgos'!$A$12,""))</f>
        <v>MEDIO
</v>
      </c>
      <c r="D4" s="12" t="str">
        <f aca="false">UPPER(Criterios!D15)&amp;CHAR(10)&amp;TRIM(IF(AND('Registro de riesgos'!$E$5=Criterios!$B$15,'Registro de riesgos'!$F$5=Criterios!D$14)," "&amp;'Registro de riesgos'!$A$5,"")&amp;IF(AND('Registro de riesgos'!$E$6=Criterios!$B$15,'Registro de riesgos'!$F$6=Criterios!D$14)," "&amp;'Registro de riesgos'!$A$6,"")&amp;IF(AND('Registro de riesgos'!$E$7=Criterios!$B$15,'Registro de riesgos'!$F$7=Criterios!D$14)," "&amp;'Registro de riesgos'!$A$7,"")&amp;IF(AND('Registro de riesgos'!$E$8=Criterios!$B$15,'Registro de riesgos'!$F$8=Criterios!D$14)," "&amp;'Registro de riesgos'!$A$8,"")&amp;IF(AND('Registro de riesgos'!$E$9=Criterios!$B$15,'Registro de riesgos'!$F$9=Criterios!D$14)," "&amp;'Registro de riesgos'!$A$9,"")&amp;IF(AND('Registro de riesgos'!$E$10=Criterios!$B$15,'Registro de riesgos'!$F$10=Criterios!D$14)," "&amp;'Registro de riesgos'!$A$10,"")&amp;IF(AND('Registro de riesgos'!$E$11=Criterios!$B$15,'Registro de riesgos'!$F$11=Criterios!D$14)," "&amp;'Registro de riesgos'!$A$11,"")&amp;IF(AND('Registro de riesgos'!$E$12=Criterios!$B$15,'Registro de riesgos'!$F$12=Criterios!D$14)," "&amp;'Registro de riesgos'!$A$12,""))</f>
        <v>MEDIO
</v>
      </c>
      <c r="E4" s="13" t="str">
        <f aca="false">UPPER(Criterios!E15)&amp;CHAR(10)&amp;TRIM(IF(AND('Registro de riesgos'!$E$5=Criterios!$B$15,'Registro de riesgos'!$F$5=Criterios!E$14)," "&amp;'Registro de riesgos'!$A$5,"")&amp;IF(AND('Registro de riesgos'!$E$6=Criterios!$B$15,'Registro de riesgos'!$F$6=Criterios!E$14)," "&amp;'Registro de riesgos'!$A$6,"")&amp;IF(AND('Registro de riesgos'!$E$7=Criterios!$B$15,'Registro de riesgos'!$F$7=Criterios!E$14)," "&amp;'Registro de riesgos'!$A$7,"")&amp;IF(AND('Registro de riesgos'!$E$8=Criterios!$B$15,'Registro de riesgos'!$F$8=Criterios!E$14)," "&amp;'Registro de riesgos'!$A$8,"")&amp;IF(AND('Registro de riesgos'!$E$9=Criterios!$B$15,'Registro de riesgos'!$F$9=Criterios!E$14)," "&amp;'Registro de riesgos'!$A$9,"")&amp;IF(AND('Registro de riesgos'!$E$10=Criterios!$B$15,'Registro de riesgos'!$F$10=Criterios!E$14)," "&amp;'Registro de riesgos'!$A$10,"")&amp;IF(AND('Registro de riesgos'!$E$11=Criterios!$B$15,'Registro de riesgos'!$F$11=Criterios!E$14)," "&amp;'Registro de riesgos'!$A$11,"")&amp;IF(AND('Registro de riesgos'!$E$12=Criterios!$B$15,'Registro de riesgos'!$F$12=Criterios!E$14)," "&amp;'Registro de riesgos'!$A$12,""))</f>
        <v>ALTO
</v>
      </c>
      <c r="F4" s="14" t="str">
        <f aca="false">UPPER(Criterios!F15)&amp;CHAR(10)&amp;TRIM(IF(AND('Registro de riesgos'!$E$5=Criterios!$B$15,'Registro de riesgos'!$F$5=Criterios!F$14)," "&amp;'Registro de riesgos'!$A$5,"")&amp;IF(AND('Registro de riesgos'!$E$6=Criterios!$B$15,'Registro de riesgos'!$F$6=Criterios!F$14)," "&amp;'Registro de riesgos'!$A$6,"")&amp;IF(AND('Registro de riesgos'!$E$7=Criterios!$B$15,'Registro de riesgos'!$F$7=Criterios!F$14)," "&amp;'Registro de riesgos'!$A$7,"")&amp;IF(AND('Registro de riesgos'!$E$8=Criterios!$B$15,'Registro de riesgos'!$F$8=Criterios!F$14)," "&amp;'Registro de riesgos'!$A$8,"")&amp;IF(AND('Registro de riesgos'!$E$9=Criterios!$B$15,'Registro de riesgos'!$F$9=Criterios!F$14)," "&amp;'Registro de riesgos'!$A$9,"")&amp;IF(AND('Registro de riesgos'!$E$10=Criterios!$B$15,'Registro de riesgos'!$F$10=Criterios!F$14)," "&amp;'Registro de riesgos'!$A$10,"")&amp;IF(AND('Registro de riesgos'!$E$11=Criterios!$B$15,'Registro de riesgos'!$F$11=Criterios!F$14)," "&amp;'Registro de riesgos'!$A$11,"")&amp;IF(AND('Registro de riesgos'!$E$12=Criterios!$B$15,'Registro de riesgos'!$F$12=Criterios!F$14)," "&amp;'Registro de riesgos'!$A$12,""))</f>
        <v>MUY ALTO
</v>
      </c>
      <c r="G4" s="14" t="str">
        <f aca="false">UPPER(Criterios!G15)&amp;CHAR(10)&amp;TRIM(IF(AND('Registro de riesgos'!$E$5=Criterios!$B$15,'Registro de riesgos'!$F$5=Criterios!G$14)," "&amp;'Registro de riesgos'!$A$5,"")&amp;IF(AND('Registro de riesgos'!$E$6=Criterios!$B$15,'Registro de riesgos'!$F$6=Criterios!G$14)," "&amp;'Registro de riesgos'!$A$6,"")&amp;IF(AND('Registro de riesgos'!$E$7=Criterios!$B$15,'Registro de riesgos'!$F$7=Criterios!G$14)," "&amp;'Registro de riesgos'!$A$7,"")&amp;IF(AND('Registro de riesgos'!$E$8=Criterios!$B$15,'Registro de riesgos'!$F$8=Criterios!G$14)," "&amp;'Registro de riesgos'!$A$8,"")&amp;IF(AND('Registro de riesgos'!$E$9=Criterios!$B$15,'Registro de riesgos'!$F$9=Criterios!G$14)," "&amp;'Registro de riesgos'!$A$9,"")&amp;IF(AND('Registro de riesgos'!$E$10=Criterios!$B$15,'Registro de riesgos'!$F$10=Criterios!G$14)," "&amp;'Registro de riesgos'!$A$10,"")&amp;IF(AND('Registro de riesgos'!$E$11=Criterios!$B$15,'Registro de riesgos'!$F$11=Criterios!G$14)," "&amp;'Registro de riesgos'!$A$11,"")&amp;IF(AND('Registro de riesgos'!$E$12=Criterios!$B$15,'Registro de riesgos'!$F$12=Criterios!G$14)," "&amp;'Registro de riesgos'!$A$12,""))</f>
        <v>MUY ALTO
</v>
      </c>
    </row>
    <row r="5" customFormat="false" ht="54.75" hidden="false" customHeight="true" outlineLevel="0" collapsed="false">
      <c r="A5" s="11"/>
      <c r="B5" s="10" t="s">
        <v>77</v>
      </c>
      <c r="C5" s="12" t="str">
        <f aca="false">UPPER(Criterios!C16)&amp;CHAR(10)&amp;TRIM(IF(AND('Registro de riesgos'!$E$5=Criterios!$B$16,'Registro de riesgos'!$F$5=Criterios!C$14)," "&amp;'Registro de riesgos'!$A$5,"")&amp;IF(AND('Registro de riesgos'!$E$6=Criterios!$B$16,'Registro de riesgos'!$F$6=Criterios!C$14)," "&amp;'Registro de riesgos'!$A$6,"")&amp;IF(AND('Registro de riesgos'!$E$7=Criterios!$B$16,'Registro de riesgos'!$F$7=Criterios!C$14)," "&amp;'Registro de riesgos'!$A$7,"")&amp;IF(AND('Registro de riesgos'!$E$8=Criterios!$B$16,'Registro de riesgos'!$F$8=Criterios!C$14)," "&amp;'Registro de riesgos'!$A$8,"")&amp;IF(AND('Registro de riesgos'!$E$9=Criterios!$B$16,'Registro de riesgos'!$F$9=Criterios!C$14)," "&amp;'Registro de riesgos'!$A$9,"")&amp;IF(AND('Registro de riesgos'!$E$10=Criterios!$B$16,'Registro de riesgos'!$F$10=Criterios!C$14)," "&amp;'Registro de riesgos'!$A$10,"")&amp;IF(AND('Registro de riesgos'!$E$11=Criterios!$B$16,'Registro de riesgos'!$F$11=Criterios!C$14)," "&amp;'Registro de riesgos'!$A$11,"")&amp;IF(AND('Registro de riesgos'!$E$12=Criterios!$B$16,'Registro de riesgos'!$F$12=Criterios!C$14)," "&amp;'Registro de riesgos'!$A$12,""))</f>
        <v>MEDIO
</v>
      </c>
      <c r="D5" s="12" t="str">
        <f aca="false">UPPER(Criterios!D16)&amp;CHAR(10)&amp;TRIM(IF(AND('Registro de riesgos'!$E$5=Criterios!$B$16,'Registro de riesgos'!$F$5=Criterios!D$14)," "&amp;'Registro de riesgos'!$A$5,"")&amp;IF(AND('Registro de riesgos'!$E$6=Criterios!$B$16,'Registro de riesgos'!$F$6=Criterios!D$14)," "&amp;'Registro de riesgos'!$A$6,"")&amp;IF(AND('Registro de riesgos'!$E$7=Criterios!$B$16,'Registro de riesgos'!$F$7=Criterios!D$14)," "&amp;'Registro de riesgos'!$A$7,"")&amp;IF(AND('Registro de riesgos'!$E$8=Criterios!$B$16,'Registro de riesgos'!$F$8=Criterios!D$14)," "&amp;'Registro de riesgos'!$A$8,"")&amp;IF(AND('Registro de riesgos'!$E$9=Criterios!$B$16,'Registro de riesgos'!$F$9=Criterios!D$14)," "&amp;'Registro de riesgos'!$A$9,"")&amp;IF(AND('Registro de riesgos'!$E$10=Criterios!$B$16,'Registro de riesgos'!$F$10=Criterios!D$14)," "&amp;'Registro de riesgos'!$A$10,"")&amp;IF(AND('Registro de riesgos'!$E$11=Criterios!$B$16,'Registro de riesgos'!$F$11=Criterios!D$14)," "&amp;'Registro de riesgos'!$A$11,"")&amp;IF(AND('Registro de riesgos'!$E$12=Criterios!$B$16,'Registro de riesgos'!$F$12=Criterios!D$14)," "&amp;'Registro de riesgos'!$A$12,""))</f>
        <v>MEDIO
</v>
      </c>
      <c r="E5" s="13" t="str">
        <f aca="false">UPPER(Criterios!E16)&amp;CHAR(10)&amp;TRIM(IF(AND('Registro de riesgos'!$E$5=Criterios!$B$16,'Registro de riesgos'!$F$5=Criterios!E$14)," "&amp;'Registro de riesgos'!$A$5,"")&amp;IF(AND('Registro de riesgos'!$E$6=Criterios!$B$16,'Registro de riesgos'!$F$6=Criterios!E$14)," "&amp;'Registro de riesgos'!$A$6,"")&amp;IF(AND('Registro de riesgos'!$E$7=Criterios!$B$16,'Registro de riesgos'!$F$7=Criterios!E$14)," "&amp;'Registro de riesgos'!$A$7,"")&amp;IF(AND('Registro de riesgos'!$E$8=Criterios!$B$16,'Registro de riesgos'!$F$8=Criterios!E$14)," "&amp;'Registro de riesgos'!$A$8,"")&amp;IF(AND('Registro de riesgos'!$E$9=Criterios!$B$16,'Registro de riesgos'!$F$9=Criterios!E$14)," "&amp;'Registro de riesgos'!$A$9,"")&amp;IF(AND('Registro de riesgos'!$E$10=Criterios!$B$16,'Registro de riesgos'!$F$10=Criterios!E$14)," "&amp;'Registro de riesgos'!$A$10,"")&amp;IF(AND('Registro de riesgos'!$E$11=Criterios!$B$16,'Registro de riesgos'!$F$11=Criterios!E$14)," "&amp;'Registro de riesgos'!$A$11,"")&amp;IF(AND('Registro de riesgos'!$E$12=Criterios!$B$16,'Registro de riesgos'!$F$12=Criterios!E$14)," "&amp;'Registro de riesgos'!$A$12,""))</f>
        <v>ALTO
R2</v>
      </c>
      <c r="F5" s="13" t="str">
        <f aca="false">UPPER(Criterios!F16)&amp;CHAR(10)&amp;TRIM(IF(AND('Registro de riesgos'!$E$5=Criterios!$B$16,'Registro de riesgos'!$F$5=Criterios!F$14)," "&amp;'Registro de riesgos'!$A$5,"")&amp;IF(AND('Registro de riesgos'!$E$6=Criterios!$B$16,'Registro de riesgos'!$F$6=Criterios!F$14)," "&amp;'Registro de riesgos'!$A$6,"")&amp;IF(AND('Registro de riesgos'!$E$7=Criterios!$B$16,'Registro de riesgos'!$F$7=Criterios!F$14)," "&amp;'Registro de riesgos'!$A$7,"")&amp;IF(AND('Registro de riesgos'!$E$8=Criterios!$B$16,'Registro de riesgos'!$F$8=Criterios!F$14)," "&amp;'Registro de riesgos'!$A$8,"")&amp;IF(AND('Registro de riesgos'!$E$9=Criterios!$B$16,'Registro de riesgos'!$F$9=Criterios!F$14)," "&amp;'Registro de riesgos'!$A$9,"")&amp;IF(AND('Registro de riesgos'!$E$10=Criterios!$B$16,'Registro de riesgos'!$F$10=Criterios!F$14)," "&amp;'Registro de riesgos'!$A$10,"")&amp;IF(AND('Registro de riesgos'!$E$11=Criterios!$B$16,'Registro de riesgos'!$F$11=Criterios!F$14)," "&amp;'Registro de riesgos'!$A$11,"")&amp;IF(AND('Registro de riesgos'!$E$12=Criterios!$B$16,'Registro de riesgos'!$F$12=Criterios!F$14)," "&amp;'Registro de riesgos'!$A$12,""))</f>
        <v>ALTO
</v>
      </c>
      <c r="G5" s="14" t="str">
        <f aca="false">UPPER(Criterios!G16)&amp;CHAR(10)&amp;TRIM(IF(AND('Registro de riesgos'!$E$5=Criterios!$B$16,'Registro de riesgos'!$F$5=Criterios!G$14)," "&amp;'Registro de riesgos'!$A$5,"")&amp;IF(AND('Registro de riesgos'!$E$6=Criterios!$B$16,'Registro de riesgos'!$F$6=Criterios!G$14)," "&amp;'Registro de riesgos'!$A$6,"")&amp;IF(AND('Registro de riesgos'!$E$7=Criterios!$B$16,'Registro de riesgos'!$F$7=Criterios!G$14)," "&amp;'Registro de riesgos'!$A$7,"")&amp;IF(AND('Registro de riesgos'!$E$8=Criterios!$B$16,'Registro de riesgos'!$F$8=Criterios!G$14)," "&amp;'Registro de riesgos'!$A$8,"")&amp;IF(AND('Registro de riesgos'!$E$9=Criterios!$B$16,'Registro de riesgos'!$F$9=Criterios!G$14)," "&amp;'Registro de riesgos'!$A$9,"")&amp;IF(AND('Registro de riesgos'!$E$10=Criterios!$B$16,'Registro de riesgos'!$F$10=Criterios!G$14)," "&amp;'Registro de riesgos'!$A$10,"")&amp;IF(AND('Registro de riesgos'!$E$11=Criterios!$B$16,'Registro de riesgos'!$F$11=Criterios!G$14)," "&amp;'Registro de riesgos'!$A$11,"")&amp;IF(AND('Registro de riesgos'!$E$12=Criterios!$B$16,'Registro de riesgos'!$F$12=Criterios!G$14)," "&amp;'Registro de riesgos'!$A$12,""))</f>
        <v>MUY ALTO
</v>
      </c>
    </row>
    <row r="6" customFormat="false" ht="54.75" hidden="false" customHeight="true" outlineLevel="0" collapsed="false">
      <c r="A6" s="11"/>
      <c r="B6" s="10" t="s">
        <v>78</v>
      </c>
      <c r="C6" s="15" t="str">
        <f aca="false">UPPER(Criterios!C17)&amp;CHAR(10)&amp;TRIM(IF(AND('Registro de riesgos'!$E$5=Criterios!$B$17,'Registro de riesgos'!$F$5=Criterios!C$14)," "&amp;'Registro de riesgos'!$A$5,"")&amp;IF(AND('Registro de riesgos'!$E$6=Criterios!$B$17,'Registro de riesgos'!$F$6=Criterios!C$14)," "&amp;'Registro de riesgos'!$A$6,"")&amp;IF(AND('Registro de riesgos'!$E$7=Criterios!$B$17,'Registro de riesgos'!$F$7=Criterios!C$14)," "&amp;'Registro de riesgos'!$A$7,"")&amp;IF(AND('Registro de riesgos'!$E$8=Criterios!$B$17,'Registro de riesgos'!$F$8=Criterios!C$14)," "&amp;'Registro de riesgos'!$A$8,"")&amp;IF(AND('Registro de riesgos'!$E$9=Criterios!$B$17,'Registro de riesgos'!$F$9=Criterios!C$14)," "&amp;'Registro de riesgos'!$A$9,"")&amp;IF(AND('Registro de riesgos'!$E$10=Criterios!$B$17,'Registro de riesgos'!$F$10=Criterios!C$14)," "&amp;'Registro de riesgos'!$A$10,"")&amp;IF(AND('Registro de riesgos'!$E$11=Criterios!$B$17,'Registro de riesgos'!$F$11=Criterios!C$14)," "&amp;'Registro de riesgos'!$A$11,"")&amp;IF(AND('Registro de riesgos'!$E$12=Criterios!$B$17,'Registro de riesgos'!$F$12=Criterios!C$14)," "&amp;'Registro de riesgos'!$A$12,""))</f>
        <v>BAJO
</v>
      </c>
      <c r="D6" s="12" t="str">
        <f aca="false">UPPER(Criterios!D17)&amp;CHAR(10)&amp;TRIM(IF(AND('Registro de riesgos'!$E$5=Criterios!$B$17,'Registro de riesgos'!$F$5=Criterios!D$14)," "&amp;'Registro de riesgos'!$A$5,"")&amp;IF(AND('Registro de riesgos'!$E$6=Criterios!$B$17,'Registro de riesgos'!$F$6=Criterios!D$14)," "&amp;'Registro de riesgos'!$A$6,"")&amp;IF(AND('Registro de riesgos'!$E$7=Criterios!$B$17,'Registro de riesgos'!$F$7=Criterios!D$14)," "&amp;'Registro de riesgos'!$A$7,"")&amp;IF(AND('Registro de riesgos'!$E$8=Criterios!$B$17,'Registro de riesgos'!$F$8=Criterios!D$14)," "&amp;'Registro de riesgos'!$A$8,"")&amp;IF(AND('Registro de riesgos'!$E$9=Criterios!$B$17,'Registro de riesgos'!$F$9=Criterios!D$14)," "&amp;'Registro de riesgos'!$A$9,"")&amp;IF(AND('Registro de riesgos'!$E$10=Criterios!$B$17,'Registro de riesgos'!$F$10=Criterios!D$14)," "&amp;'Registro de riesgos'!$A$10,"")&amp;IF(AND('Registro de riesgos'!$E$11=Criterios!$B$17,'Registro de riesgos'!$F$11=Criterios!D$14)," "&amp;'Registro de riesgos'!$A$11,"")&amp;IF(AND('Registro de riesgos'!$E$12=Criterios!$B$17,'Registro de riesgos'!$F$12=Criterios!D$14)," "&amp;'Registro de riesgos'!$A$12,""))</f>
        <v>MEDIO
R6</v>
      </c>
      <c r="E6" s="12" t="str">
        <f aca="false">UPPER(Criterios!E17)&amp;CHAR(10)&amp;TRIM(IF(AND('Registro de riesgos'!$E$5=Criterios!$B$17,'Registro de riesgos'!$F$5=Criterios!E$14)," "&amp;'Registro de riesgos'!$A$5,"")&amp;IF(AND('Registro de riesgos'!$E$6=Criterios!$B$17,'Registro de riesgos'!$F$6=Criterios!E$14)," "&amp;'Registro de riesgos'!$A$6,"")&amp;IF(AND('Registro de riesgos'!$E$7=Criterios!$B$17,'Registro de riesgos'!$F$7=Criterios!E$14)," "&amp;'Registro de riesgos'!$A$7,"")&amp;IF(AND('Registro de riesgos'!$E$8=Criterios!$B$17,'Registro de riesgos'!$F$8=Criterios!E$14)," "&amp;'Registro de riesgos'!$A$8,"")&amp;IF(AND('Registro de riesgos'!$E$9=Criterios!$B$17,'Registro de riesgos'!$F$9=Criterios!E$14)," "&amp;'Registro de riesgos'!$A$9,"")&amp;IF(AND('Registro de riesgos'!$E$10=Criterios!$B$17,'Registro de riesgos'!$F$10=Criterios!E$14)," "&amp;'Registro de riesgos'!$A$10,"")&amp;IF(AND('Registro de riesgos'!$E$11=Criterios!$B$17,'Registro de riesgos'!$F$11=Criterios!E$14)," "&amp;'Registro de riesgos'!$A$11,"")&amp;IF(AND('Registro de riesgos'!$E$12=Criterios!$B$17,'Registro de riesgos'!$F$12=Criterios!E$14)," "&amp;'Registro de riesgos'!$A$12,""))</f>
        <v>MEDIO
R1 R5</v>
      </c>
      <c r="F6" s="13" t="str">
        <f aca="false">UPPER(Criterios!F17)&amp;CHAR(10)&amp;TRIM(IF(AND('Registro de riesgos'!$E$5=Criterios!$B$17,'Registro de riesgos'!$F$5=Criterios!F$14)," "&amp;'Registro de riesgos'!$A$5,"")&amp;IF(AND('Registro de riesgos'!$E$6=Criterios!$B$17,'Registro de riesgos'!$F$6=Criterios!F$14)," "&amp;'Registro de riesgos'!$A$6,"")&amp;IF(AND('Registro de riesgos'!$E$7=Criterios!$B$17,'Registro de riesgos'!$F$7=Criterios!F$14)," "&amp;'Registro de riesgos'!$A$7,"")&amp;IF(AND('Registro de riesgos'!$E$8=Criterios!$B$17,'Registro de riesgos'!$F$8=Criterios!F$14)," "&amp;'Registro de riesgos'!$A$8,"")&amp;IF(AND('Registro de riesgos'!$E$9=Criterios!$B$17,'Registro de riesgos'!$F$9=Criterios!F$14)," "&amp;'Registro de riesgos'!$A$9,"")&amp;IF(AND('Registro de riesgos'!$E$10=Criterios!$B$17,'Registro de riesgos'!$F$10=Criterios!F$14)," "&amp;'Registro de riesgos'!$A$10,"")&amp;IF(AND('Registro de riesgos'!$E$11=Criterios!$B$17,'Registro de riesgos'!$F$11=Criterios!F$14)," "&amp;'Registro de riesgos'!$A$11,"")&amp;IF(AND('Registro de riesgos'!$E$12=Criterios!$B$17,'Registro de riesgos'!$F$12=Criterios!F$14)," "&amp;'Registro de riesgos'!$A$12,""))</f>
        <v>ALTO
R7 R8</v>
      </c>
      <c r="G6" s="13" t="str">
        <f aca="false">UPPER(Criterios!G17)&amp;CHAR(10)&amp;TRIM(IF(AND('Registro de riesgos'!$E$5=Criterios!$B$17,'Registro de riesgos'!$F$5=Criterios!G$14)," "&amp;'Registro de riesgos'!$A$5,"")&amp;IF(AND('Registro de riesgos'!$E$6=Criterios!$B$17,'Registro de riesgos'!$F$6=Criterios!G$14)," "&amp;'Registro de riesgos'!$A$6,"")&amp;IF(AND('Registro de riesgos'!$E$7=Criterios!$B$17,'Registro de riesgos'!$F$7=Criterios!G$14)," "&amp;'Registro de riesgos'!$A$7,"")&amp;IF(AND('Registro de riesgos'!$E$8=Criterios!$B$17,'Registro de riesgos'!$F$8=Criterios!G$14)," "&amp;'Registro de riesgos'!$A$8,"")&amp;IF(AND('Registro de riesgos'!$E$9=Criterios!$B$17,'Registro de riesgos'!$F$9=Criterios!G$14)," "&amp;'Registro de riesgos'!$A$9,"")&amp;IF(AND('Registro de riesgos'!$E$10=Criterios!$B$17,'Registro de riesgos'!$F$10=Criterios!G$14)," "&amp;'Registro de riesgos'!$A$10,"")&amp;IF(AND('Registro de riesgos'!$E$11=Criterios!$B$17,'Registro de riesgos'!$F$11=Criterios!G$14)," "&amp;'Registro de riesgos'!$A$11,"")&amp;IF(AND('Registro de riesgos'!$E$12=Criterios!$B$17,'Registro de riesgos'!$F$12=Criterios!G$14)," "&amp;'Registro de riesgos'!$A$12,""))</f>
        <v>ALTO
</v>
      </c>
    </row>
    <row r="7" customFormat="false" ht="54.75" hidden="false" customHeight="true" outlineLevel="0" collapsed="false">
      <c r="A7" s="11"/>
      <c r="B7" s="10" t="s">
        <v>79</v>
      </c>
      <c r="C7" s="15" t="str">
        <f aca="false">UPPER(Criterios!C18)&amp;CHAR(10)&amp;TRIM(IF(AND('Registro de riesgos'!$E$5=Criterios!$B$18,'Registro de riesgos'!$F$5=Criterios!C$14)," "&amp;'Registro de riesgos'!$A$5,"")&amp;IF(AND('Registro de riesgos'!$E$6=Criterios!$B$18,'Registro de riesgos'!$F$6=Criterios!C$14)," "&amp;'Registro de riesgos'!$A$6,"")&amp;IF(AND('Registro de riesgos'!$E$7=Criterios!$B$18,'Registro de riesgos'!$F$7=Criterios!C$14)," "&amp;'Registro de riesgos'!$A$7,"")&amp;IF(AND('Registro de riesgos'!$E$8=Criterios!$B$18,'Registro de riesgos'!$F$8=Criterios!C$14)," "&amp;'Registro de riesgos'!$A$8,"")&amp;IF(AND('Registro de riesgos'!$E$9=Criterios!$B$18,'Registro de riesgos'!$F$9=Criterios!C$14)," "&amp;'Registro de riesgos'!$A$9,"")&amp;IF(AND('Registro de riesgos'!$E$10=Criterios!$B$18,'Registro de riesgos'!$F$10=Criterios!C$14)," "&amp;'Registro de riesgos'!$A$10,"")&amp;IF(AND('Registro de riesgos'!$E$11=Criterios!$B$18,'Registro de riesgos'!$F$11=Criterios!C$14)," "&amp;'Registro de riesgos'!$A$11,"")&amp;IF(AND('Registro de riesgos'!$E$12=Criterios!$B$18,'Registro de riesgos'!$F$12=Criterios!C$14)," "&amp;'Registro de riesgos'!$A$12,""))</f>
        <v>BAJO
</v>
      </c>
      <c r="D7" s="15" t="str">
        <f aca="false">UPPER(Criterios!D18)&amp;CHAR(10)&amp;TRIM(IF(AND('Registro de riesgos'!$E$5=Criterios!$B$18,'Registro de riesgos'!$F$5=Criterios!D$14)," "&amp;'Registro de riesgos'!$A$5,"")&amp;IF(AND('Registro de riesgos'!$E$6=Criterios!$B$18,'Registro de riesgos'!$F$6=Criterios!D$14)," "&amp;'Registro de riesgos'!$A$6,"")&amp;IF(AND('Registro de riesgos'!$E$7=Criterios!$B$18,'Registro de riesgos'!$F$7=Criterios!D$14)," "&amp;'Registro de riesgos'!$A$7,"")&amp;IF(AND('Registro de riesgos'!$E$8=Criterios!$B$18,'Registro de riesgos'!$F$8=Criterios!D$14)," "&amp;'Registro de riesgos'!$A$8,"")&amp;IF(AND('Registro de riesgos'!$E$9=Criterios!$B$18,'Registro de riesgos'!$F$9=Criterios!D$14)," "&amp;'Registro de riesgos'!$A$9,"")&amp;IF(AND('Registro de riesgos'!$E$10=Criterios!$B$18,'Registro de riesgos'!$F$10=Criterios!D$14)," "&amp;'Registro de riesgos'!$A$10,"")&amp;IF(AND('Registro de riesgos'!$E$11=Criterios!$B$18,'Registro de riesgos'!$F$11=Criterios!D$14)," "&amp;'Registro de riesgos'!$A$11,"")&amp;IF(AND('Registro de riesgos'!$E$12=Criterios!$B$18,'Registro de riesgos'!$F$12=Criterios!D$14)," "&amp;'Registro de riesgos'!$A$12,""))</f>
        <v>BAJO
</v>
      </c>
      <c r="E7" s="12" t="str">
        <f aca="false">UPPER(Criterios!E18)&amp;CHAR(10)&amp;TRIM(IF(AND('Registro de riesgos'!$E$5=Criterios!$B$18,'Registro de riesgos'!$F$5=Criterios!E$14)," "&amp;'Registro de riesgos'!$A$5,"")&amp;IF(AND('Registro de riesgos'!$E$6=Criterios!$B$18,'Registro de riesgos'!$F$6=Criterios!E$14)," "&amp;'Registro de riesgos'!$A$6,"")&amp;IF(AND('Registro de riesgos'!$E$7=Criterios!$B$18,'Registro de riesgos'!$F$7=Criterios!E$14)," "&amp;'Registro de riesgos'!$A$7,"")&amp;IF(AND('Registro de riesgos'!$E$8=Criterios!$B$18,'Registro de riesgos'!$F$8=Criterios!E$14)," "&amp;'Registro de riesgos'!$A$8,"")&amp;IF(AND('Registro de riesgos'!$E$9=Criterios!$B$18,'Registro de riesgos'!$F$9=Criterios!E$14)," "&amp;'Registro de riesgos'!$A$9,"")&amp;IF(AND('Registro de riesgos'!$E$10=Criterios!$B$18,'Registro de riesgos'!$F$10=Criterios!E$14)," "&amp;'Registro de riesgos'!$A$10,"")&amp;IF(AND('Registro de riesgos'!$E$11=Criterios!$B$18,'Registro de riesgos'!$F$11=Criterios!E$14)," "&amp;'Registro de riesgos'!$A$11,"")&amp;IF(AND('Registro de riesgos'!$E$12=Criterios!$B$18,'Registro de riesgos'!$F$12=Criterios!E$14)," "&amp;'Registro de riesgos'!$A$12,""))</f>
        <v>MEDIO
</v>
      </c>
      <c r="F7" s="12" t="str">
        <f aca="false">UPPER(Criterios!F18)&amp;CHAR(10)&amp;TRIM(IF(AND('Registro de riesgos'!$E$5=Criterios!$B$18,'Registro de riesgos'!$F$5=Criterios!F$14)," "&amp;'Registro de riesgos'!$A$5,"")&amp;IF(AND('Registro de riesgos'!$E$6=Criterios!$B$18,'Registro de riesgos'!$F$6=Criterios!F$14)," "&amp;'Registro de riesgos'!$A$6,"")&amp;IF(AND('Registro de riesgos'!$E$7=Criterios!$B$18,'Registro de riesgos'!$F$7=Criterios!F$14)," "&amp;'Registro de riesgos'!$A$7,"")&amp;IF(AND('Registro de riesgos'!$E$8=Criterios!$B$18,'Registro de riesgos'!$F$8=Criterios!F$14)," "&amp;'Registro de riesgos'!$A$8,"")&amp;IF(AND('Registro de riesgos'!$E$9=Criterios!$B$18,'Registro de riesgos'!$F$9=Criterios!F$14)," "&amp;'Registro de riesgos'!$A$9,"")&amp;IF(AND('Registro de riesgos'!$E$10=Criterios!$B$18,'Registro de riesgos'!$F$10=Criterios!F$14)," "&amp;'Registro de riesgos'!$A$10,"")&amp;IF(AND('Registro de riesgos'!$E$11=Criterios!$B$18,'Registro de riesgos'!$F$11=Criterios!F$14)," "&amp;'Registro de riesgos'!$A$11,"")&amp;IF(AND('Registro de riesgos'!$E$12=Criterios!$B$18,'Registro de riesgos'!$F$12=Criterios!F$14)," "&amp;'Registro de riesgos'!$A$12,""))</f>
        <v>MEDIO
R3</v>
      </c>
      <c r="G7" s="13" t="str">
        <f aca="false">UPPER(Criterios!G18)&amp;CHAR(10)&amp;TRIM(IF(AND('Registro de riesgos'!$E$5=Criterios!$B$18,'Registro de riesgos'!$F$5=Criterios!G$14)," "&amp;'Registro de riesgos'!$A$5,"")&amp;IF(AND('Registro de riesgos'!$E$6=Criterios!$B$18,'Registro de riesgos'!$F$6=Criterios!G$14)," "&amp;'Registro de riesgos'!$A$6,"")&amp;IF(AND('Registro de riesgos'!$E$7=Criterios!$B$18,'Registro de riesgos'!$F$7=Criterios!G$14)," "&amp;'Registro de riesgos'!$A$7,"")&amp;IF(AND('Registro de riesgos'!$E$8=Criterios!$B$18,'Registro de riesgos'!$F$8=Criterios!G$14)," "&amp;'Registro de riesgos'!$A$8,"")&amp;IF(AND('Registro de riesgos'!$E$9=Criterios!$B$18,'Registro de riesgos'!$F$9=Criterios!G$14)," "&amp;'Registro de riesgos'!$A$9,"")&amp;IF(AND('Registro de riesgos'!$E$10=Criterios!$B$18,'Registro de riesgos'!$F$10=Criterios!G$14)," "&amp;'Registro de riesgos'!$A$10,"")&amp;IF(AND('Registro de riesgos'!$E$11=Criterios!$B$18,'Registro de riesgos'!$F$11=Criterios!G$14)," "&amp;'Registro de riesgos'!$A$11,"")&amp;IF(AND('Registro de riesgos'!$E$12=Criterios!$B$18,'Registro de riesgos'!$F$12=Criterios!G$14)," "&amp;'Registro de riesgos'!$A$12,""))</f>
        <v>ALTO
R4</v>
      </c>
    </row>
    <row r="8" customFormat="false" ht="54.75" hidden="false" customHeight="true" outlineLevel="0" collapsed="false">
      <c r="A8" s="11"/>
      <c r="B8" s="10" t="s">
        <v>80</v>
      </c>
      <c r="C8" s="15" t="str">
        <f aca="false">UPPER(Criterios!C19)&amp;CHAR(10)&amp;TRIM(IF(AND('Registro de riesgos'!$E$5=Criterios!$B$19,'Registro de riesgos'!$F$5=Criterios!C$14)," "&amp;'Registro de riesgos'!$A$5,"")&amp;IF(AND('Registro de riesgos'!$E$6=Criterios!$B$19,'Registro de riesgos'!$F$6=Criterios!C$14)," "&amp;'Registro de riesgos'!$A$6,"")&amp;IF(AND('Registro de riesgos'!$E$7=Criterios!$B$19,'Registro de riesgos'!$F$7=Criterios!C$14)," "&amp;'Registro de riesgos'!$A$7,"")&amp;IF(AND('Registro de riesgos'!$E$8=Criterios!$B$19,'Registro de riesgos'!$F$8=Criterios!C$14)," "&amp;'Registro de riesgos'!$A$8,"")&amp;IF(AND('Registro de riesgos'!$E$9=Criterios!$B$19,'Registro de riesgos'!$F$9=Criterios!C$14)," "&amp;'Registro de riesgos'!$A$9,"")&amp;IF(AND('Registro de riesgos'!$E$10=Criterios!$B$19,'Registro de riesgos'!$F$10=Criterios!C$14)," "&amp;'Registro de riesgos'!$A$10,"")&amp;IF(AND('Registro de riesgos'!$E$11=Criterios!$B$19,'Registro de riesgos'!$F$11=Criterios!C$14)," "&amp;'Registro de riesgos'!$A$11,"")&amp;IF(AND('Registro de riesgos'!$E$12=Criterios!$B$19,'Registro de riesgos'!$F$12=Criterios!C$14)," "&amp;'Registro de riesgos'!$A$12,""))</f>
        <v>BAJO
</v>
      </c>
      <c r="D8" s="15" t="str">
        <f aca="false">UPPER(Criterios!D19)&amp;CHAR(10)&amp;TRIM(IF(AND('Registro de riesgos'!$E$5=Criterios!$B$19,'Registro de riesgos'!$F$5=Criterios!D$14)," "&amp;'Registro de riesgos'!$A$5,"")&amp;IF(AND('Registro de riesgos'!$E$6=Criterios!$B$19,'Registro de riesgos'!$F$6=Criterios!D$14)," "&amp;'Registro de riesgos'!$A$6,"")&amp;IF(AND('Registro de riesgos'!$E$7=Criterios!$B$19,'Registro de riesgos'!$F$7=Criterios!D$14)," "&amp;'Registro de riesgos'!$A$7,"")&amp;IF(AND('Registro de riesgos'!$E$8=Criterios!$B$19,'Registro de riesgos'!$F$8=Criterios!D$14)," "&amp;'Registro de riesgos'!$A$8,"")&amp;IF(AND('Registro de riesgos'!$E$9=Criterios!$B$19,'Registro de riesgos'!$F$9=Criterios!D$14)," "&amp;'Registro de riesgos'!$A$9,"")&amp;IF(AND('Registro de riesgos'!$E$10=Criterios!$B$19,'Registro de riesgos'!$F$10=Criterios!D$14)," "&amp;'Registro de riesgos'!$A$10,"")&amp;IF(AND('Registro de riesgos'!$E$11=Criterios!$B$19,'Registro de riesgos'!$F$11=Criterios!D$14)," "&amp;'Registro de riesgos'!$A$11,"")&amp;IF(AND('Registro de riesgos'!$E$12=Criterios!$B$19,'Registro de riesgos'!$F$12=Criterios!D$14)," "&amp;'Registro de riesgos'!$A$12,""))</f>
        <v>BAJO
</v>
      </c>
      <c r="E8" s="12" t="str">
        <f aca="false">UPPER(Criterios!E19)&amp;CHAR(10)&amp;TRIM(IF(AND('Registro de riesgos'!$E$5=Criterios!$B$19,'Registro de riesgos'!$F$5=Criterios!E$14)," "&amp;'Registro de riesgos'!$A$5,"")&amp;IF(AND('Registro de riesgos'!$E$6=Criterios!$B$19,'Registro de riesgos'!$F$6=Criterios!E$14)," "&amp;'Registro de riesgos'!$A$6,"")&amp;IF(AND('Registro de riesgos'!$E$7=Criterios!$B$19,'Registro de riesgos'!$F$7=Criterios!E$14)," "&amp;'Registro de riesgos'!$A$7,"")&amp;IF(AND('Registro de riesgos'!$E$8=Criterios!$B$19,'Registro de riesgos'!$F$8=Criterios!E$14)," "&amp;'Registro de riesgos'!$A$8,"")&amp;IF(AND('Registro de riesgos'!$E$9=Criterios!$B$19,'Registro de riesgos'!$F$9=Criterios!E$14)," "&amp;'Registro de riesgos'!$A$9,"")&amp;IF(AND('Registro de riesgos'!$E$10=Criterios!$B$19,'Registro de riesgos'!$F$10=Criterios!E$14)," "&amp;'Registro de riesgos'!$A$10,"")&amp;IF(AND('Registro de riesgos'!$E$11=Criterios!$B$19,'Registro de riesgos'!$F$11=Criterios!E$14)," "&amp;'Registro de riesgos'!$A$11,"")&amp;IF(AND('Registro de riesgos'!$E$12=Criterios!$B$19,'Registro de riesgos'!$F$12=Criterios!E$14)," "&amp;'Registro de riesgos'!$A$12,""))</f>
        <v>MEDIO
</v>
      </c>
      <c r="F8" s="12" t="str">
        <f aca="false">UPPER(Criterios!F19)&amp;CHAR(10)&amp;TRIM(IF(AND('Registro de riesgos'!$E$5=Criterios!$B$19,'Registro de riesgos'!$F$5=Criterios!F$14)," "&amp;'Registro de riesgos'!$A$5,"")&amp;IF(AND('Registro de riesgos'!$E$6=Criterios!$B$19,'Registro de riesgos'!$F$6=Criterios!F$14)," "&amp;'Registro de riesgos'!$A$6,"")&amp;IF(AND('Registro de riesgos'!$E$7=Criterios!$B$19,'Registro de riesgos'!$F$7=Criterios!F$14)," "&amp;'Registro de riesgos'!$A$7,"")&amp;IF(AND('Registro de riesgos'!$E$8=Criterios!$B$19,'Registro de riesgos'!$F$8=Criterios!F$14)," "&amp;'Registro de riesgos'!$A$8,"")&amp;IF(AND('Registro de riesgos'!$E$9=Criterios!$B$19,'Registro de riesgos'!$F$9=Criterios!F$14)," "&amp;'Registro de riesgos'!$A$9,"")&amp;IF(AND('Registro de riesgos'!$E$10=Criterios!$B$19,'Registro de riesgos'!$F$10=Criterios!F$14)," "&amp;'Registro de riesgos'!$A$10,"")&amp;IF(AND('Registro de riesgos'!$E$11=Criterios!$B$19,'Registro de riesgos'!$F$11=Criterios!F$14)," "&amp;'Registro de riesgos'!$A$11,"")&amp;IF(AND('Registro de riesgos'!$E$12=Criterios!$B$19,'Registro de riesgos'!$F$12=Criterios!F$14)," "&amp;'Registro de riesgos'!$A$12,""))</f>
        <v>MEDIO
</v>
      </c>
      <c r="G8" s="12" t="str">
        <f aca="false">UPPER(Criterios!G19)&amp;CHAR(10)&amp;TRIM(IF(AND('Registro de riesgos'!$E$5=Criterios!$B$19,'Registro de riesgos'!$F$5=Criterios!G$14)," "&amp;'Registro de riesgos'!$A$5,"")&amp;IF(AND('Registro de riesgos'!$E$6=Criterios!$B$19,'Registro de riesgos'!$F$6=Criterios!G$14)," "&amp;'Registro de riesgos'!$A$6,"")&amp;IF(AND('Registro de riesgos'!$E$7=Criterios!$B$19,'Registro de riesgos'!$F$7=Criterios!G$14)," "&amp;'Registro de riesgos'!$A$7,"")&amp;IF(AND('Registro de riesgos'!$E$8=Criterios!$B$19,'Registro de riesgos'!$F$8=Criterios!G$14)," "&amp;'Registro de riesgos'!$A$8,"")&amp;IF(AND('Registro de riesgos'!$E$9=Criterios!$B$19,'Registro de riesgos'!$F$9=Criterios!G$14)," "&amp;'Registro de riesgos'!$A$9,"")&amp;IF(AND('Registro de riesgos'!$E$10=Criterios!$B$19,'Registro de riesgos'!$F$10=Criterios!G$14)," "&amp;'Registro de riesgos'!$A$10,"")&amp;IF(AND('Registro de riesgos'!$E$11=Criterios!$B$19,'Registro de riesgos'!$F$11=Criterios!G$14)," "&amp;'Registro de riesgos'!$A$11,"")&amp;IF(AND('Registro de riesgos'!$E$12=Criterios!$B$19,'Registro de riesgos'!$F$12=Criterios!G$14)," "&amp;'Registro de riesgos'!$A$12,""))</f>
        <v>MEDIO
</v>
      </c>
    </row>
    <row r="10" customFormat="false" ht="15" hidden="false" customHeight="false" outlineLevel="0" collapsed="false">
      <c r="B10" s="2" t="s">
        <v>81</v>
      </c>
    </row>
  </sheetData>
  <mergeCells count="3">
    <mergeCell ref="B1:G1"/>
    <mergeCell ref="C2:G2"/>
    <mergeCell ref="A4:A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7" min="3" style="0" width="14"/>
    <col collapsed="false" customWidth="true" hidden="false" outlineLevel="0" max="8" min="8" style="0" width="3"/>
    <col collapsed="false" customWidth="true" hidden="false" outlineLevel="0" max="9" min="9" style="0" width="15"/>
    <col collapsed="false" customWidth="true" hidden="false" outlineLevel="0" max="14" min="10" style="0" width="14"/>
  </cols>
  <sheetData>
    <row r="1" customFormat="false" ht="17.35" hidden="false" customHeight="false" outlineLevel="0" collapsed="false">
      <c r="A1" s="1" t="s">
        <v>82</v>
      </c>
    </row>
    <row r="3" customFormat="false" ht="15" hidden="false" customHeight="true" outlineLevel="0" collapsed="false">
      <c r="A3" s="3" t="s">
        <v>6</v>
      </c>
      <c r="B3" s="3"/>
      <c r="C3" s="3" t="s">
        <v>83</v>
      </c>
      <c r="D3" s="3"/>
      <c r="E3" s="3"/>
      <c r="F3" s="3"/>
      <c r="G3" s="3"/>
      <c r="I3" s="3" t="s">
        <v>7</v>
      </c>
      <c r="J3" s="3" t="s">
        <v>83</v>
      </c>
      <c r="K3" s="3"/>
      <c r="L3" s="3"/>
      <c r="M3" s="3"/>
      <c r="N3" s="3"/>
    </row>
    <row r="4" customFormat="false" ht="30" hidden="false" customHeight="true" outlineLevel="0" collapsed="false">
      <c r="A4" s="16" t="s">
        <v>84</v>
      </c>
      <c r="B4" s="16"/>
      <c r="C4" s="5" t="s">
        <v>85</v>
      </c>
      <c r="D4" s="5"/>
      <c r="E4" s="5"/>
      <c r="F4" s="5"/>
      <c r="G4" s="5"/>
      <c r="I4" s="16" t="s">
        <v>86</v>
      </c>
      <c r="J4" s="5" t="s">
        <v>87</v>
      </c>
      <c r="K4" s="5"/>
      <c r="L4" s="5"/>
      <c r="M4" s="5"/>
      <c r="N4" s="5"/>
    </row>
    <row r="5" customFormat="false" ht="30" hidden="false" customHeight="true" outlineLevel="0" collapsed="false">
      <c r="A5" s="16" t="s">
        <v>25</v>
      </c>
      <c r="B5" s="16"/>
      <c r="C5" s="5" t="s">
        <v>88</v>
      </c>
      <c r="D5" s="5"/>
      <c r="E5" s="5"/>
      <c r="F5" s="5"/>
      <c r="G5" s="5"/>
      <c r="I5" s="16" t="s">
        <v>53</v>
      </c>
      <c r="J5" s="5" t="s">
        <v>89</v>
      </c>
      <c r="K5" s="5"/>
      <c r="L5" s="5"/>
      <c r="M5" s="5"/>
      <c r="N5" s="5"/>
    </row>
    <row r="6" customFormat="false" ht="30" hidden="false" customHeight="true" outlineLevel="0" collapsed="false">
      <c r="A6" s="16" t="s">
        <v>16</v>
      </c>
      <c r="B6" s="16"/>
      <c r="C6" s="5" t="s">
        <v>90</v>
      </c>
      <c r="D6" s="5"/>
      <c r="E6" s="5"/>
      <c r="F6" s="5"/>
      <c r="G6" s="5"/>
      <c r="I6" s="16" t="s">
        <v>17</v>
      </c>
      <c r="J6" s="5" t="s">
        <v>91</v>
      </c>
      <c r="K6" s="5"/>
      <c r="L6" s="5"/>
      <c r="M6" s="5"/>
      <c r="N6" s="5"/>
    </row>
    <row r="7" customFormat="false" ht="30" hidden="false" customHeight="true" outlineLevel="0" collapsed="false">
      <c r="A7" s="16" t="s">
        <v>33</v>
      </c>
      <c r="B7" s="16"/>
      <c r="C7" s="5" t="s">
        <v>92</v>
      </c>
      <c r="D7" s="5"/>
      <c r="E7" s="5"/>
      <c r="F7" s="5"/>
      <c r="G7" s="5"/>
      <c r="I7" s="16" t="s">
        <v>34</v>
      </c>
      <c r="J7" s="5" t="s">
        <v>93</v>
      </c>
      <c r="K7" s="5"/>
      <c r="L7" s="5"/>
      <c r="M7" s="5"/>
      <c r="N7" s="5"/>
    </row>
    <row r="8" customFormat="false" ht="30" hidden="false" customHeight="true" outlineLevel="0" collapsed="false">
      <c r="A8" s="16" t="s">
        <v>94</v>
      </c>
      <c r="B8" s="16"/>
      <c r="C8" s="5" t="s">
        <v>95</v>
      </c>
      <c r="D8" s="5"/>
      <c r="E8" s="5"/>
      <c r="F8" s="5"/>
      <c r="G8" s="5"/>
      <c r="I8" s="16" t="s">
        <v>42</v>
      </c>
      <c r="J8" s="5" t="s">
        <v>96</v>
      </c>
      <c r="K8" s="5"/>
      <c r="L8" s="5"/>
      <c r="M8" s="5"/>
      <c r="N8" s="5"/>
    </row>
    <row r="12" customFormat="false" ht="15" hidden="false" customHeight="false" outlineLevel="0" collapsed="false">
      <c r="A12" s="17" t="s">
        <v>97</v>
      </c>
    </row>
    <row r="14" customFormat="false" ht="15" hidden="false" customHeight="false" outlineLevel="0" collapsed="false">
      <c r="B14" s="18" t="s">
        <v>98</v>
      </c>
      <c r="C14" s="18" t="s">
        <v>86</v>
      </c>
      <c r="D14" s="18" t="s">
        <v>53</v>
      </c>
      <c r="E14" s="18" t="s">
        <v>17</v>
      </c>
      <c r="F14" s="18" t="s">
        <v>34</v>
      </c>
      <c r="G14" s="18" t="s">
        <v>42</v>
      </c>
    </row>
    <row r="15" customFormat="false" ht="15" hidden="false" customHeight="false" outlineLevel="0" collapsed="false">
      <c r="B15" s="18" t="s">
        <v>84</v>
      </c>
      <c r="C15" s="19" t="s">
        <v>99</v>
      </c>
      <c r="D15" s="19" t="s">
        <v>99</v>
      </c>
      <c r="E15" s="20" t="s">
        <v>100</v>
      </c>
      <c r="F15" s="21" t="s">
        <v>101</v>
      </c>
      <c r="G15" s="21" t="s">
        <v>101</v>
      </c>
    </row>
    <row r="16" customFormat="false" ht="15" hidden="false" customHeight="false" outlineLevel="0" collapsed="false">
      <c r="B16" s="18" t="s">
        <v>25</v>
      </c>
      <c r="C16" s="19" t="s">
        <v>99</v>
      </c>
      <c r="D16" s="19" t="s">
        <v>99</v>
      </c>
      <c r="E16" s="20" t="s">
        <v>100</v>
      </c>
      <c r="F16" s="20" t="s">
        <v>100</v>
      </c>
      <c r="G16" s="21" t="s">
        <v>101</v>
      </c>
    </row>
    <row r="17" customFormat="false" ht="15" hidden="false" customHeight="false" outlineLevel="0" collapsed="false">
      <c r="B17" s="18" t="s">
        <v>16</v>
      </c>
      <c r="C17" s="22" t="s">
        <v>102</v>
      </c>
      <c r="D17" s="19" t="s">
        <v>99</v>
      </c>
      <c r="E17" s="19" t="s">
        <v>99</v>
      </c>
      <c r="F17" s="20" t="s">
        <v>100</v>
      </c>
      <c r="G17" s="20" t="s">
        <v>100</v>
      </c>
    </row>
    <row r="18" customFormat="false" ht="15" hidden="false" customHeight="false" outlineLevel="0" collapsed="false">
      <c r="B18" s="18" t="s">
        <v>33</v>
      </c>
      <c r="C18" s="22" t="s">
        <v>102</v>
      </c>
      <c r="D18" s="22" t="s">
        <v>102</v>
      </c>
      <c r="E18" s="19" t="s">
        <v>99</v>
      </c>
      <c r="F18" s="19" t="s">
        <v>99</v>
      </c>
      <c r="G18" s="20" t="s">
        <v>100</v>
      </c>
    </row>
    <row r="19" customFormat="false" ht="15" hidden="false" customHeight="false" outlineLevel="0" collapsed="false">
      <c r="B19" s="18" t="s">
        <v>94</v>
      </c>
      <c r="C19" s="22" t="s">
        <v>102</v>
      </c>
      <c r="D19" s="22" t="s">
        <v>102</v>
      </c>
      <c r="E19" s="19" t="s">
        <v>99</v>
      </c>
      <c r="F19" s="19" t="s">
        <v>99</v>
      </c>
      <c r="G19" s="19" t="s">
        <v>99</v>
      </c>
    </row>
  </sheetData>
  <mergeCells count="18">
    <mergeCell ref="A3:B3"/>
    <mergeCell ref="C3:G3"/>
    <mergeCell ref="J3:N3"/>
    <mergeCell ref="A4:B4"/>
    <mergeCell ref="C4:G4"/>
    <mergeCell ref="J4:N4"/>
    <mergeCell ref="A5:B5"/>
    <mergeCell ref="C5:G5"/>
    <mergeCell ref="J5:N5"/>
    <mergeCell ref="A6:B6"/>
    <mergeCell ref="C6:G6"/>
    <mergeCell ref="J6:N6"/>
    <mergeCell ref="A7:B7"/>
    <mergeCell ref="C7:G7"/>
    <mergeCell ref="J7:N7"/>
    <mergeCell ref="A8:B8"/>
    <mergeCell ref="C8:G8"/>
    <mergeCell ref="J8:N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2026-10-01T18:56:47Z</dcterms:created>
  <dc:creator>openpyxl</dc:creator>
  <dc:description/>
  <dc:language>en-US</dc:language>
  <cp:lastModifiedBy/>
  <dcterms:modified xsi:type="dcterms:W3CDTF">2026-10-01T18:56:47Z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